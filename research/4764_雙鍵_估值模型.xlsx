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6FEB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雙鍵化工(4764) 估值模型 — 輸入假設(藍字可改,全表連動)</t>
        </is>
      </c>
    </row>
    <row r="2">
      <c r="A2" t="inlineStr">
        <is>
          <t>校準基準:26Q2月營收加總932.9(對方模型預實誤差-2.0%綠燈);現價236.5(2026/7/30);股數0.855億</t>
        </is>
      </c>
    </row>
    <row r="4">
      <c r="A4" t="inlineStr">
        <is>
          <t>現價(元)</t>
        </is>
      </c>
      <c r="B4" s="2" t="n">
        <v>236.5</v>
      </c>
    </row>
    <row r="5">
      <c r="A5" t="inlineStr">
        <is>
          <t>稅率</t>
        </is>
      </c>
      <c r="B5" s="2" t="n">
        <v>0.2</v>
      </c>
    </row>
    <row r="6">
      <c r="A6" t="inlineStr">
        <is>
          <t>流通股數(億股)</t>
        </is>
      </c>
      <c r="B6" s="2" t="n">
        <v>0.855</v>
      </c>
    </row>
    <row r="7">
      <c r="A7" t="inlineStr">
        <is>
          <t>CB潛在稀釋(億股)  ※CB 5億,依轉換價概估</t>
        </is>
      </c>
      <c r="B7" s="2" t="n">
        <v>0.017</v>
      </c>
    </row>
    <row r="8">
      <c r="A8" t="inlineStr">
        <is>
          <t>稀釋後股數(億股)</t>
        </is>
      </c>
      <c r="B8">
        <f>B6+B7</f>
        <v/>
      </c>
    </row>
    <row r="9">
      <c r="A9" t="inlineStr">
        <is>
          <t>傳統材料營收/季(百萬)  ※塑膠添加劑+光固化,模型假設平盤</t>
        </is>
      </c>
      <c r="B9" s="2" t="n">
        <v>560</v>
      </c>
    </row>
    <row r="10">
      <c r="A10" t="inlineStr">
        <is>
          <t>傳統材料毛利率</t>
        </is>
      </c>
      <c r="B10" s="2" t="n">
        <v>0.14</v>
      </c>
    </row>
    <row r="11">
      <c r="A11" t="inlineStr">
        <is>
          <t>電子樹脂毛利率 2026H2  ※1Q26反推約53%,保守給</t>
        </is>
      </c>
      <c r="B11" s="2" t="n">
        <v>0.44</v>
      </c>
    </row>
    <row r="12">
      <c r="A12" t="inlineStr">
        <is>
          <t>電子樹脂毛利率 2027  ※HC占比升+良率爬坡</t>
        </is>
      </c>
      <c r="B12" s="2" t="n">
        <v>0.48</v>
      </c>
    </row>
    <row r="13">
      <c r="A13" t="inlineStr">
        <is>
          <t>營業費用率 2026H2</t>
        </is>
      </c>
      <c r="B13" s="2" t="n">
        <v>0.09</v>
      </c>
    </row>
    <row r="14">
      <c r="A14" t="inlineStr">
        <is>
          <t>營業費用率 2027  ※營收放大攤薄(對方模型隱含~7.3%)</t>
        </is>
      </c>
      <c r="B14" s="2" t="n">
        <v>0.075</v>
      </c>
    </row>
    <row r="15">
      <c r="A15" t="inlineStr">
        <is>
          <t>業外損益/季(百萬)  ※財務成本,CB到位償還11.1億借款後改善</t>
        </is>
      </c>
      <c r="B15" s="2" t="n">
        <v>-8</v>
      </c>
    </row>
    <row r="16">
      <c r="A16" t="inlineStr">
        <is>
          <t>1H26 已實現EPS(自結)</t>
        </is>
      </c>
      <c r="B16" s="2" t="n">
        <v>2.25</v>
      </c>
    </row>
    <row r="18">
      <c r="A18" s="3" t="inlineStr">
        <is>
          <t>季度營運假設(核心兩顆鈕:月出貨噸數 × 樹脂ASP)</t>
        </is>
      </c>
    </row>
    <row r="19">
      <c r="A19" t="inlineStr">
        <is>
          <t>季度</t>
        </is>
      </c>
      <c r="C19" s="4" t="inlineStr">
        <is>
          <t>26Q3E</t>
        </is>
      </c>
      <c r="D19" s="4" t="inlineStr">
        <is>
          <t>26Q4E</t>
        </is>
      </c>
      <c r="E19" s="4" t="inlineStr">
        <is>
          <t>27Q1E</t>
        </is>
      </c>
      <c r="F19" s="4" t="inlineStr">
        <is>
          <t>27Q2E</t>
        </is>
      </c>
      <c r="G19" s="4" t="inlineStr">
        <is>
          <t>27Q3E</t>
        </is>
      </c>
      <c r="H19" s="4" t="inlineStr">
        <is>
          <t>27Q4E</t>
        </is>
      </c>
    </row>
    <row r="20">
      <c r="A20" t="inlineStr">
        <is>
          <t>月出貨噸數(噸/月)</t>
        </is>
      </c>
      <c r="C20" s="2" t="n">
        <v>160</v>
      </c>
      <c r="D20" s="2" t="n">
        <v>235</v>
      </c>
      <c r="E20" s="2" t="n">
        <v>350</v>
      </c>
      <c r="F20" s="2" t="n">
        <v>360</v>
      </c>
      <c r="G20" s="2" t="n">
        <v>370</v>
      </c>
      <c r="H20" s="2" t="n">
        <v>370</v>
      </c>
    </row>
    <row r="21">
      <c r="A21" t="inlineStr">
        <is>
          <t>樹脂ASP(NTD/KG)</t>
        </is>
      </c>
      <c r="C21" s="2" t="n">
        <v>1325</v>
      </c>
      <c r="D21" s="2" t="n">
        <v>1550</v>
      </c>
      <c r="E21" s="2" t="n">
        <v>1670</v>
      </c>
      <c r="F21" s="2" t="n">
        <v>1660</v>
      </c>
      <c r="G21" s="2" t="n">
        <v>1650</v>
      </c>
      <c r="H21" s="2" t="n">
        <v>1650</v>
      </c>
    </row>
    <row r="23">
      <c r="A23" t="inlineStr">
        <is>
          <t>假設依據(法說+供應鏈筆記):目前90-110噸/月→4Q26目標220-250噸/月;宜蘭產能上修遠超2,000噸/年;</t>
        </is>
      </c>
    </row>
    <row r="24">
      <c r="A24" t="inlineStr">
        <is>
          <t>ASP:BMI 500-600→FY25已達900-1,000(mPPO出貨實績)→M7/M8放量mPPO為主劑、M8起摻HC(單價最高)→ASP階梯上行;</t>
        </is>
      </c>
    </row>
    <row r="25">
      <c r="A25" t="inlineStr">
        <is>
          <t>26Q3校準:160噸×1,325≈636百萬=對方模型Q3E 1,223×電子占比52%。27年:350噸×1,670≈對方27Q電子~1,754。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季度損益模型(百萬) — 電子=噸×3×ASP/1000;藍色實績、其餘公式連動</t>
        </is>
      </c>
    </row>
    <row r="3">
      <c r="A3" t="inlineStr">
        <is>
          <t>季度</t>
        </is>
      </c>
      <c r="B3" s="4" t="inlineStr">
        <is>
          <t>26Q1A</t>
        </is>
      </c>
      <c r="C3" s="4" t="inlineStr">
        <is>
          <t>26Q2A</t>
        </is>
      </c>
      <c r="D3" s="4" t="inlineStr">
        <is>
          <t>26Q3E</t>
        </is>
      </c>
      <c r="E3" s="4" t="inlineStr">
        <is>
          <t>26Q4E</t>
        </is>
      </c>
      <c r="F3" s="4" t="inlineStr">
        <is>
          <t>27Q1E</t>
        </is>
      </c>
      <c r="G3" s="4" t="inlineStr">
        <is>
          <t>27Q2E</t>
        </is>
      </c>
      <c r="H3" s="4" t="inlineStr">
        <is>
          <t>27Q3E</t>
        </is>
      </c>
      <c r="I3" s="4" t="inlineStr">
        <is>
          <t>27Q4E</t>
        </is>
      </c>
    </row>
    <row r="4">
      <c r="A4" t="inlineStr">
        <is>
          <t>電子樹脂營收</t>
        </is>
      </c>
      <c r="B4" s="2" t="n">
        <v>272</v>
      </c>
      <c r="C4" s="2" t="n">
        <v>392</v>
      </c>
      <c r="D4">
        <f>Assumptions!C20*3*Assumptions!C21/1000</f>
        <v/>
      </c>
      <c r="E4">
        <f>Assumptions!D20*3*Assumptions!D21/1000</f>
        <v/>
      </c>
      <c r="F4">
        <f>Assumptions!E20*3*Assumptions!E21/1000</f>
        <v/>
      </c>
      <c r="G4">
        <f>Assumptions!F20*3*Assumptions!F21/1000</f>
        <v/>
      </c>
      <c r="H4">
        <f>Assumptions!G20*3*Assumptions!G21/1000</f>
        <v/>
      </c>
      <c r="I4">
        <f>Assumptions!H20*3*Assumptions!H21/1000</f>
        <v/>
      </c>
    </row>
    <row r="5">
      <c r="A5" t="inlineStr">
        <is>
          <t>傳統材料營收</t>
        </is>
      </c>
      <c r="B5" s="2" t="n">
        <v>551</v>
      </c>
      <c r="C5" s="2" t="n">
        <v>541</v>
      </c>
      <c r="D5">
        <f>Assumptions!$B$9</f>
        <v/>
      </c>
      <c r="E5">
        <f>Assumptions!$B$9</f>
        <v/>
      </c>
      <c r="F5">
        <f>Assumptions!$B$9</f>
        <v/>
      </c>
      <c r="G5">
        <f>Assumptions!$B$9</f>
        <v/>
      </c>
      <c r="H5">
        <f>Assumptions!$B$9</f>
        <v/>
      </c>
      <c r="I5">
        <f>Assumptions!$B$9</f>
        <v/>
      </c>
    </row>
    <row r="6">
      <c r="A6" t="inlineStr">
        <is>
          <t>總營收</t>
        </is>
      </c>
      <c r="B6" s="2" t="n">
        <v>823</v>
      </c>
      <c r="C6" s="2" t="n">
        <v>933</v>
      </c>
      <c r="D6">
        <f>D4+D5</f>
        <v/>
      </c>
      <c r="E6">
        <f>E4+E5</f>
        <v/>
      </c>
      <c r="F6">
        <f>F4+F5</f>
        <v/>
      </c>
      <c r="G6">
        <f>G4+G5</f>
        <v/>
      </c>
      <c r="H6">
        <f>H4+H5</f>
        <v/>
      </c>
      <c r="I6">
        <f>I4+I5</f>
        <v/>
      </c>
    </row>
    <row r="7">
      <c r="A7" t="inlineStr">
        <is>
          <t>電子占比</t>
        </is>
      </c>
      <c r="D7">
        <f>D4/D6</f>
        <v/>
      </c>
      <c r="E7">
        <f>E4/E6</f>
        <v/>
      </c>
      <c r="F7">
        <f>F4/F6</f>
        <v/>
      </c>
      <c r="G7">
        <f>G4/G6</f>
        <v/>
      </c>
      <c r="H7">
        <f>H4/H6</f>
        <v/>
      </c>
      <c r="I7">
        <f>I4/I6</f>
        <v/>
      </c>
    </row>
    <row r="8">
      <c r="A8" t="inlineStr">
        <is>
          <t>毛利率(blended)</t>
        </is>
      </c>
      <c r="B8">
        <f>B6*B9</f>
        <v/>
      </c>
      <c r="C8" t="inlineStr"/>
      <c r="D8">
        <f>D7*Assumptions!$B$11+(1-D7)*Assumptions!$B$10</f>
        <v/>
      </c>
      <c r="E8">
        <f>E7*Assumptions!$B$11+(1-E7)*Assumptions!$B$10</f>
        <v/>
      </c>
      <c r="F8">
        <f>F7*Assumptions!$B$12+(1-F7)*Assumptions!$B$10</f>
        <v/>
      </c>
      <c r="G8">
        <f>G7*Assumptions!$B$12+(1-G7)*Assumptions!$B$10</f>
        <v/>
      </c>
      <c r="H8">
        <f>H7*Assumptions!$B$12+(1-H7)*Assumptions!$B$10</f>
        <v/>
      </c>
      <c r="I8">
        <f>I7*Assumptions!$B$12+(1-I7)*Assumptions!$B$10</f>
        <v/>
      </c>
    </row>
    <row r="9">
      <c r="A9" t="inlineStr">
        <is>
          <t>(同上)</t>
        </is>
      </c>
      <c r="B9" s="2" t="n">
        <v>0.2653</v>
      </c>
      <c r="C9" t="inlineStr"/>
      <c r="D9">
        <f>D8</f>
        <v/>
      </c>
      <c r="E9">
        <f>E8</f>
        <v/>
      </c>
      <c r="F9">
        <f>F8</f>
        <v/>
      </c>
      <c r="G9">
        <f>G8</f>
        <v/>
      </c>
      <c r="H9">
        <f>H8</f>
        <v/>
      </c>
      <c r="I9">
        <f>I8</f>
        <v/>
      </c>
    </row>
    <row r="10">
      <c r="A10" t="inlineStr">
        <is>
          <t>毛利</t>
        </is>
      </c>
      <c r="D10">
        <f>D6*D8</f>
        <v/>
      </c>
      <c r="E10">
        <f>E6*E8</f>
        <v/>
      </c>
      <c r="F10">
        <f>F6*F8</f>
        <v/>
      </c>
      <c r="G10">
        <f>G6*G8</f>
        <v/>
      </c>
      <c r="H10">
        <f>H6*H8</f>
        <v/>
      </c>
      <c r="I10">
        <f>I6*I8</f>
        <v/>
      </c>
    </row>
    <row r="11">
      <c r="A11" t="inlineStr">
        <is>
          <t>營業費用</t>
        </is>
      </c>
      <c r="B11" s="2" t="n">
        <v>121</v>
      </c>
      <c r="D11">
        <f>D6*Assumptions!$B$13</f>
        <v/>
      </c>
      <c r="E11">
        <f>E6*Assumptions!$B$13</f>
        <v/>
      </c>
      <c r="F11">
        <f>F6*Assumptions!$B$14</f>
        <v/>
      </c>
      <c r="G11">
        <f>G6*Assumptions!$B$14</f>
        <v/>
      </c>
      <c r="H11">
        <f>H6*Assumptions!$B$14</f>
        <v/>
      </c>
      <c r="I11">
        <f>I6*Assumptions!$B$14</f>
        <v/>
      </c>
    </row>
    <row r="12">
      <c r="A12" t="inlineStr">
        <is>
          <t>營業利益</t>
        </is>
      </c>
      <c r="D12">
        <f>D10-D11</f>
        <v/>
      </c>
      <c r="E12">
        <f>E10-E11</f>
        <v/>
      </c>
      <c r="F12">
        <f>F10-F11</f>
        <v/>
      </c>
      <c r="G12">
        <f>G10-G11</f>
        <v/>
      </c>
      <c r="H12">
        <f>H10-H11</f>
        <v/>
      </c>
      <c r="I12">
        <f>I10-I11</f>
        <v/>
      </c>
    </row>
    <row r="13">
      <c r="A13" t="inlineStr">
        <is>
          <t>營益率</t>
        </is>
      </c>
      <c r="D13">
        <f>D12/D6</f>
        <v/>
      </c>
      <c r="E13">
        <f>E12/E6</f>
        <v/>
      </c>
      <c r="F13">
        <f>F12/F6</f>
        <v/>
      </c>
      <c r="G13">
        <f>G12/G6</f>
        <v/>
      </c>
      <c r="H13">
        <f>H12/H6</f>
        <v/>
      </c>
      <c r="I13">
        <f>I12/I6</f>
        <v/>
      </c>
    </row>
    <row r="14">
      <c r="A14" t="inlineStr">
        <is>
          <t>業外</t>
        </is>
      </c>
      <c r="B14" s="2" t="n">
        <v>88</v>
      </c>
      <c r="D14">
        <f>Assumptions!$B$15</f>
        <v/>
      </c>
      <c r="E14">
        <f>Assumptions!$B$15</f>
        <v/>
      </c>
      <c r="F14">
        <f>Assumptions!$B$15</f>
        <v/>
      </c>
      <c r="G14">
        <f>Assumptions!$B$15</f>
        <v/>
      </c>
      <c r="H14">
        <f>Assumptions!$B$15</f>
        <v/>
      </c>
      <c r="I14">
        <f>Assumptions!$B$15</f>
        <v/>
      </c>
    </row>
    <row r="15">
      <c r="A15" t="inlineStr">
        <is>
          <t>稅前</t>
        </is>
      </c>
      <c r="D15">
        <f>D12+D14</f>
        <v/>
      </c>
      <c r="E15">
        <f>E12+E14</f>
        <v/>
      </c>
      <c r="F15">
        <f>F12+F14</f>
        <v/>
      </c>
      <c r="G15">
        <f>G12+G14</f>
        <v/>
      </c>
      <c r="H15">
        <f>H12+H14</f>
        <v/>
      </c>
      <c r="I15">
        <f>I12+I14</f>
        <v/>
      </c>
    </row>
    <row r="16">
      <c r="A16" t="inlineStr">
        <is>
          <t>稅後淨利</t>
        </is>
      </c>
      <c r="B16" s="2" t="n">
        <v>1.03</v>
      </c>
      <c r="C16" s="2" t="n">
        <v>1.22</v>
      </c>
      <c r="D16">
        <f>D15*(1-Assumptions!$B$5)</f>
        <v/>
      </c>
      <c r="E16">
        <f>E15*(1-Assumptions!$B$5)</f>
        <v/>
      </c>
      <c r="F16">
        <f>F15*(1-Assumptions!$B$5)</f>
        <v/>
      </c>
      <c r="G16">
        <f>G15*(1-Assumptions!$B$5)</f>
        <v/>
      </c>
      <c r="H16">
        <f>H15*(1-Assumptions!$B$5)</f>
        <v/>
      </c>
      <c r="I16">
        <f>I15*(1-Assumptions!$B$5)</f>
        <v/>
      </c>
    </row>
    <row r="17">
      <c r="A17" t="inlineStr">
        <is>
          <t>EPS(元)</t>
        </is>
      </c>
      <c r="D17">
        <f>D16/(Assumptions!$B$8*100)</f>
        <v/>
      </c>
      <c r="E17">
        <f>E16/(Assumptions!$B$8*100)</f>
        <v/>
      </c>
      <c r="F17">
        <f>F16/(Assumptions!$B$8*100)</f>
        <v/>
      </c>
      <c r="G17">
        <f>G16/(Assumptions!$B$8*100)</f>
        <v/>
      </c>
      <c r="H17">
        <f>H16/(Assumptions!$B$8*100)</f>
        <v/>
      </c>
      <c r="I17">
        <f>I16/(Assumptions!$B$8*100)</f>
        <v/>
      </c>
    </row>
    <row r="19">
      <c r="A19" s="3" t="inlineStr">
        <is>
          <t>FY26 EPS(1H實績2.25+2H推估)</t>
        </is>
      </c>
      <c r="B19" s="5">
        <f>Assumptions!$B$16+D17+E17</f>
        <v/>
      </c>
    </row>
    <row r="20">
      <c r="A20" s="3" t="inlineStr">
        <is>
          <t>FY27 EPS(四季推估)</t>
        </is>
      </c>
      <c r="B20" s="5">
        <f>F17+G17+H17+I17</f>
        <v/>
      </c>
    </row>
    <row r="22">
      <c r="A22" t="inlineStr">
        <is>
          <t>對方模型軌跡(對照):26Q3E 1,223→26Q4E 1,684→27年單季~2,370-2,382;毛利率26.5%→39.4%;營益率14.7%→32.1%</t>
        </is>
      </c>
    </row>
    <row r="23">
      <c r="A23" t="inlineStr">
        <is>
          <t>預實紀錄:26Q2 模型951.6 vs 實際933 誤差-2.0%(±5%內綠燈)。下一驗證:7月營收(8/10公布)月均應~408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估值 — FY27E EPS × 本益比情境</t>
        </is>
      </c>
    </row>
    <row r="3">
      <c r="A3" t="inlineStr">
        <is>
          <t>FY27E EPS(連動Model)</t>
        </is>
      </c>
      <c r="B3" s="5">
        <f>Model!B20</f>
        <v/>
      </c>
    </row>
    <row r="4">
      <c r="A4" t="inlineStr">
        <is>
          <t>FY26E EPS</t>
        </is>
      </c>
      <c r="B4">
        <f>Model!B19</f>
        <v/>
      </c>
    </row>
    <row r="5">
      <c r="A5" t="inlineStr">
        <is>
          <t>現價</t>
        </is>
      </c>
      <c r="B5">
        <f>Assumptions!B4</f>
        <v/>
      </c>
    </row>
    <row r="7">
      <c r="A7" t="inlineStr">
        <is>
          <t>本益比</t>
        </is>
      </c>
      <c r="B7" t="inlineStr">
        <is>
          <t>目標價(FY27E)</t>
        </is>
      </c>
      <c r="C7" t="inlineStr">
        <is>
          <t>vs現價</t>
        </is>
      </c>
    </row>
    <row r="8">
      <c r="A8" t="n">
        <v>17</v>
      </c>
      <c r="B8">
        <f>$B$3*A8</f>
        <v/>
      </c>
      <c r="C8" s="6">
        <f>B8/$B$5-1</f>
        <v/>
      </c>
    </row>
    <row r="9">
      <c r="A9" t="n">
        <v>20</v>
      </c>
      <c r="B9">
        <f>$B$3*A9</f>
        <v/>
      </c>
      <c r="C9" s="6">
        <f>B9/$B$5-1</f>
        <v/>
      </c>
    </row>
    <row r="10">
      <c r="A10" t="n">
        <v>25</v>
      </c>
      <c r="B10">
        <f>$B$3*A10</f>
        <v/>
      </c>
      <c r="C10" s="6">
        <f>B10/$B$5-1</f>
        <v/>
      </c>
    </row>
    <row r="11">
      <c r="A11" t="n">
        <v>30</v>
      </c>
      <c r="B11">
        <f>$B$3*A11</f>
        <v/>
      </c>
      <c r="C11" s="6">
        <f>B11/$B$5-1</f>
        <v/>
      </c>
    </row>
    <row r="12">
      <c r="A12" t="n">
        <v>35</v>
      </c>
      <c r="B12">
        <f>$B$3*A12</f>
        <v/>
      </c>
      <c r="C12" s="6">
        <f>B12/$B$5-1</f>
        <v/>
      </c>
    </row>
    <row r="14">
      <c r="A14" s="3" t="inlineStr">
        <is>
          <t>敏感度:FY27 EPS = f(27年月噸數, 27年ASP)  ※毛利率/費用率沿用 Assumptions</t>
        </is>
      </c>
    </row>
    <row r="15">
      <c r="A15" t="inlineStr">
        <is>
          <t>ASP\噸/月</t>
        </is>
      </c>
      <c r="B15" s="3" t="n">
        <v>300</v>
      </c>
      <c r="C15" s="3" t="n">
        <v>350</v>
      </c>
      <c r="D15" s="3" t="n">
        <v>400</v>
      </c>
      <c r="E15" s="3" t="n">
        <v>430</v>
      </c>
    </row>
    <row r="16">
      <c r="A16" s="3" t="n">
        <v>1500</v>
      </c>
      <c r="B16" s="7">
        <f>4*(((300*3*1500/1000+Assumptions!$B$9)*((300*3*1500/1000)/(300*3*1500/1000+Assumptions!$B$9)*Assumptions!$B$12+(1-(300*3*1500/1000)/(300*3*1500/1000+Assumptions!$B$9))*Assumptions!$B$10)-(300*3*1500/1000+Assumptions!$B$9)*Assumptions!$B$14+Assumptions!$B$15)*(1-Assumptions!$B$5))/(Assumptions!$B$8*100)</f>
        <v/>
      </c>
      <c r="C16" s="7">
        <f>4*(((350*3*1500/1000+Assumptions!$B$9)*((350*3*1500/1000)/(350*3*1500/1000+Assumptions!$B$9)*Assumptions!$B$12+(1-(350*3*1500/1000)/(350*3*1500/1000+Assumptions!$B$9))*Assumptions!$B$10)-(350*3*1500/1000+Assumptions!$B$9)*Assumptions!$B$14+Assumptions!$B$15)*(1-Assumptions!$B$5))/(Assumptions!$B$8*100)</f>
        <v/>
      </c>
      <c r="D16" s="7">
        <f>4*(((400*3*1500/1000+Assumptions!$B$9)*((400*3*1500/1000)/(400*3*1500/1000+Assumptions!$B$9)*Assumptions!$B$12+(1-(400*3*1500/1000)/(400*3*1500/1000+Assumptions!$B$9))*Assumptions!$B$10)-(400*3*1500/1000+Assumptions!$B$9)*Assumptions!$B$14+Assumptions!$B$15)*(1-Assumptions!$B$5))/(Assumptions!$B$8*100)</f>
        <v/>
      </c>
      <c r="E16" s="7">
        <f>4*(((430*3*1500/1000+Assumptions!$B$9)*((430*3*1500/1000)/(430*3*1500/1000+Assumptions!$B$9)*Assumptions!$B$12+(1-(430*3*1500/1000)/(430*3*1500/1000+Assumptions!$B$9))*Assumptions!$B$10)-(430*3*1500/1000+Assumptions!$B$9)*Assumptions!$B$14+Assumptions!$B$15)*(1-Assumptions!$B$5))/(Assumptions!$B$8*100)</f>
        <v/>
      </c>
    </row>
    <row r="17">
      <c r="A17" s="3" t="n">
        <v>1650</v>
      </c>
      <c r="B17" s="7">
        <f>4*(((300*3*1650/1000+Assumptions!$B$9)*((300*3*1650/1000)/(300*3*1650/1000+Assumptions!$B$9)*Assumptions!$B$12+(1-(300*3*1650/1000)/(300*3*1650/1000+Assumptions!$B$9))*Assumptions!$B$10)-(300*3*1650/1000+Assumptions!$B$9)*Assumptions!$B$14+Assumptions!$B$15)*(1-Assumptions!$B$5))/(Assumptions!$B$8*100)</f>
        <v/>
      </c>
      <c r="C17" s="7">
        <f>4*(((350*3*1650/1000+Assumptions!$B$9)*((350*3*1650/1000)/(350*3*1650/1000+Assumptions!$B$9)*Assumptions!$B$12+(1-(350*3*1650/1000)/(350*3*1650/1000+Assumptions!$B$9))*Assumptions!$B$10)-(350*3*1650/1000+Assumptions!$B$9)*Assumptions!$B$14+Assumptions!$B$15)*(1-Assumptions!$B$5))/(Assumptions!$B$8*100)</f>
        <v/>
      </c>
      <c r="D17" s="7">
        <f>4*(((400*3*1650/1000+Assumptions!$B$9)*((400*3*1650/1000)/(400*3*1650/1000+Assumptions!$B$9)*Assumptions!$B$12+(1-(400*3*1650/1000)/(400*3*1650/1000+Assumptions!$B$9))*Assumptions!$B$10)-(400*3*1650/1000+Assumptions!$B$9)*Assumptions!$B$14+Assumptions!$B$15)*(1-Assumptions!$B$5))/(Assumptions!$B$8*100)</f>
        <v/>
      </c>
      <c r="E17" s="7">
        <f>4*(((430*3*1650/1000+Assumptions!$B$9)*((430*3*1650/1000)/(430*3*1650/1000+Assumptions!$B$9)*Assumptions!$B$12+(1-(430*3*1650/1000)/(430*3*1650/1000+Assumptions!$B$9))*Assumptions!$B$10)-(430*3*1650/1000+Assumptions!$B$9)*Assumptions!$B$14+Assumptions!$B$15)*(1-Assumptions!$B$5))/(Assumptions!$B$8*100)</f>
        <v/>
      </c>
    </row>
    <row r="18">
      <c r="A18" s="3" t="n">
        <v>1800</v>
      </c>
      <c r="B18" s="7">
        <f>4*(((300*3*1800/1000+Assumptions!$B$9)*((300*3*1800/1000)/(300*3*1800/1000+Assumptions!$B$9)*Assumptions!$B$12+(1-(300*3*1800/1000)/(300*3*1800/1000+Assumptions!$B$9))*Assumptions!$B$10)-(300*3*1800/1000+Assumptions!$B$9)*Assumptions!$B$14+Assumptions!$B$15)*(1-Assumptions!$B$5))/(Assumptions!$B$8*100)</f>
        <v/>
      </c>
      <c r="C18" s="7">
        <f>4*(((350*3*1800/1000+Assumptions!$B$9)*((350*3*1800/1000)/(350*3*1800/1000+Assumptions!$B$9)*Assumptions!$B$12+(1-(350*3*1800/1000)/(350*3*1800/1000+Assumptions!$B$9))*Assumptions!$B$10)-(350*3*1800/1000+Assumptions!$B$9)*Assumptions!$B$14+Assumptions!$B$15)*(1-Assumptions!$B$5))/(Assumptions!$B$8*100)</f>
        <v/>
      </c>
      <c r="D18" s="7">
        <f>4*(((400*3*1800/1000+Assumptions!$B$9)*((400*3*1800/1000)/(400*3*1800/1000+Assumptions!$B$9)*Assumptions!$B$12+(1-(400*3*1800/1000)/(400*3*1800/1000+Assumptions!$B$9))*Assumptions!$B$10)-(400*3*1800/1000+Assumptions!$B$9)*Assumptions!$B$14+Assumptions!$B$15)*(1-Assumptions!$B$5))/(Assumptions!$B$8*100)</f>
        <v/>
      </c>
      <c r="E18" s="7">
        <f>4*(((430*3*1800/1000+Assumptions!$B$9)*((430*3*1800/1000)/(430*3*1800/1000+Assumptions!$B$9)*Assumptions!$B$12+(1-(430*3*1800/1000)/(430*3*1800/1000+Assumptions!$B$9))*Assumptions!$B$10)-(430*3*1800/1000+Assumptions!$B$9)*Assumptions!$B$14+Assumptions!$B$15)*(1-Assumptions!$B$5))/(Assumptions!$B$8*100)</f>
        <v/>
      </c>
    </row>
    <row r="20">
      <c r="A20" t="inlineStr">
        <is>
          <t>讀法:對方模型27年隱含約370噸×1,650 → 看該格EPS×你願給的本益比,即目標價;</t>
        </is>
      </c>
    </row>
    <row r="21">
      <c r="A21" t="inlineStr">
        <is>
          <t>現價236.5要合理,需要哪一格×幾倍本益比,自己對照——這就是「市場定價隱含的假設」。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供應鏈競局・配方階梯・追蹤點・風險</t>
        </is>
      </c>
    </row>
    <row r="2">
      <c r="A2" t="inlineStr"/>
    </row>
    <row r="3">
      <c r="A3" t="inlineStr">
        <is>
          <t>■ CCL樹脂供應鏈四角色(供應鏈筆記):</t>
        </is>
      </c>
    </row>
    <row r="4">
      <c r="A4" t="inlineStr">
        <is>
          <t xml:space="preserve">  三菱瓦斯|技術原創者/定價者,OPE標竿垂直整合到板材,不擴量只提價 → 定價傘,給了追隨者空間</t>
        </is>
      </c>
    </row>
    <row r="5">
      <c r="A5" t="inlineStr">
        <is>
          <t xml:space="preserve">  JSR     |配方IP擁有者,製造外包國精化,輕資產抽價值鏈80%</t>
        </is>
      </c>
    </row>
    <row r="6">
      <c r="A6" t="inlineStr">
        <is>
          <t xml:space="preserve">  國精化   |受託製造平台,賺代工費</t>
        </is>
      </c>
    </row>
    <row r="7">
      <c r="A7" t="inlineStr">
        <is>
          <t xml:space="preserve">  雙鍵    |完全自產自銷 → 實質瓶頸=產能開出速度+良率爬坡;關注樹脂ASP與出貨噸數逐步增加</t>
        </is>
      </c>
    </row>
    <row r="8">
      <c r="A8" t="inlineStr"/>
    </row>
    <row r="9">
      <c r="A9" t="inlineStr">
        <is>
          <t>■ 配方階梯(單價由低到高):BMI(副劑,管Tg/CTE,拉高Df)→ mPPO(主劑,管Dk,後續升級核心)</t>
        </is>
      </c>
    </row>
    <row r="10">
      <c r="A10" t="inlineStr">
        <is>
          <t xml:space="preserve">  → OPE(改質mPPO)→ HC(零極性,耐熱差但單價最高)。M7/M8:mPPO主劑;M8起摻HC;M9拉升HC比例</t>
        </is>
      </c>
    </row>
    <row r="11">
      <c r="A11" t="inlineStr">
        <is>
          <t xml:space="preserve">  設備:mPPO/HC可調校轉換,BMI設備無法沿用 → 宜蘭新產能應瞄準mPPO以上及HC</t>
        </is>
      </c>
    </row>
    <row r="12">
      <c r="A12" t="inlineStr"/>
    </row>
    <row r="13">
      <c r="A13" t="inlineStr">
        <is>
          <t>■ 宜蘭廠:原光固化擴建轉電子化學品,產能目標2,000噸/年→已上修遠超;錢2023年前花完、折舊已列</t>
        </is>
      </c>
    </row>
    <row r="14">
      <c r="A14" t="inlineStr">
        <is>
          <t xml:space="preserve">  → 現在是「收割產能利用率」階段(折舊平台~42.6/季,營收放大=營益率跳升的結構基礎)</t>
        </is>
      </c>
    </row>
    <row r="15">
      <c r="A15" t="inlineStr"/>
    </row>
    <row r="16">
      <c r="A16" t="inlineStr">
        <is>
          <t>■ 資金:7月CB 5億(純CB,現增暫緩);到位償還11.1億借款 → 利息負擔下降;2025營業現金流281 vs 淨利107品質佳</t>
        </is>
      </c>
    </row>
    <row r="17">
      <c r="A17" t="inlineStr"/>
    </row>
    <row r="18">
      <c r="A18" t="inlineStr">
        <is>
          <t>■ 追蹤點(按時間):</t>
        </is>
      </c>
    </row>
    <row r="19">
      <c r="A19" t="inlineStr">
        <is>
          <t xml:space="preserve">  1. 8/10前後:7月營收 — 月均~408為Q3模型軌道(改線放量首驗)</t>
        </is>
      </c>
    </row>
    <row r="20">
      <c r="A20" t="inlineStr">
        <is>
          <t xml:space="preserve">  2. 8月中:2Q26季報 — 毛利率(模型~26%→30%路徑)+存貨(1Q26 531.7成長型備貨的第二驗證)</t>
        </is>
      </c>
    </row>
    <row r="21">
      <c r="A21" t="inlineStr">
        <is>
          <t xml:space="preserve">  3. 4Q26:月產能220-250噸達成度;M8摻HC進度(ASP階梯)</t>
        </is>
      </c>
    </row>
    <row r="22">
      <c r="A22" t="inlineStr">
        <is>
          <t xml:space="preserve">  4. 宜蘭動工 → 新增Capex折舊(模型未含,屆時上修費用)</t>
        </is>
      </c>
    </row>
    <row r="23">
      <c r="A23" t="inlineStr"/>
    </row>
    <row r="24">
      <c r="A24" t="inlineStr">
        <is>
          <t>■ 風險(反方必列):</t>
        </is>
      </c>
    </row>
    <row r="25">
      <c r="A25" t="inlineStr">
        <is>
          <t xml:space="preserve">  1. 產能爬坡不及(160→370噸/月是5倍步伐)或良率不順 → 27年營收直接砍</t>
        </is>
      </c>
    </row>
    <row r="26">
      <c r="A26" t="inlineStr">
        <is>
          <t xml:space="preserve">  2. 單一供應鏈風險:CCL客戶集中;三菱瓦斯若轉向擴量殺價,定價傘收起</t>
        </is>
      </c>
    </row>
    <row r="27">
      <c r="A27" t="inlineStr">
        <is>
          <t xml:space="preserve">  3. 傳統材料(仍佔~半)景氣波動,模型假設平盤有下行風險</t>
        </is>
      </c>
    </row>
    <row r="28">
      <c r="A28" t="inlineStr">
        <is>
          <t xml:space="preserve">  4. 毛利率假設(電子44→48%)為反推+外推,尚無分部財報驗證;8月中季報是關鍵檢核</t>
        </is>
      </c>
    </row>
    <row r="29">
      <c r="A29" t="inlineStr">
        <is>
          <t xml:space="preserve">  5. 股價已從低點大漲後回檔35%,1H26 EPS 2.25對現價236.5=年化~52倍,價格已含高成長預期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2026-08-02T22:39:46Z</dcterms:created>
  <dcterms:modified xmlns:dcterms="http://purl.org/dc/terms/" xmlns:xsi="http://www.w3.org/2001/XMLSchema-instance" xsi:type="dcterms:W3CDTF">2026-08-02T22:39:46Z</dcterms:modified>
</cp:coreProperties>
</file>